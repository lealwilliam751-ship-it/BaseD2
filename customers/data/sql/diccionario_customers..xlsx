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1" activeTab="6"/>
  </bookViews>
  <sheets>
    <sheet name="DICCIONARIO DE DATOS" sheetId="1" r:id="rId1"/>
    <sheet name="cs.customers" sheetId="2" r:id="rId2"/>
    <sheet name="cs.addresses" sheetId="3" r:id="rId3"/>
    <sheet name="pay.orders" sheetId="4" r:id="rId4"/>
    <sheet name="pay.order_items" sheetId="5" r:id="rId5"/>
    <sheet name="ctg.products" sheetId="6" r:id="rId6"/>
    <sheet name="ctg.categories" sheetId="7" r:id="rId7"/>
    <sheet name="ctg.payment_methods" sheetId="8" r:id="rId8"/>
    <sheet name="ctg.departments" sheetId="9" r:id="rId9"/>
    <sheet name="ctg.municipaliti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<sst xmlns="http://schemas.openxmlformats.org/spreadsheetml/2006/main" count="263" uniqueCount="127">
  <si>
    <t>Customers &amp; Orders - E-Commerce 🛒 📦</t>
  </si>
  <si>
    <t>Catalogo de Datos - Informacion General</t>
  </si>
  <si>
    <t>Descripción</t>
  </si>
  <si>
    <t>Este catálogo de datos detalla la estructura de la base de datos relacional diseñada para gestionar clientes, pedidos y productos de una plataforma de comercio electrónico. Incluye clientes, direcciones, órdenes, artículos de pedido, productos, categorías, métodos de pago y ubicaciones geográficas de Colombia (departamentos y municipios).</t>
  </si>
  <si>
    <t>Propósito</t>
  </si>
  <si>
    <t>Facilitar el registro, seguimiento y análisis de clientes, sus direcciones de entrega, historial de pedidos y artículos comprados, permitiendo análisis de comportamiento de compra, gestión de inventario y métricas de ventas.</t>
  </si>
  <si>
    <t>Fecha de Creación</t>
  </si>
  <si>
    <t>12 de Abril del 2026</t>
  </si>
  <si>
    <t>Creado por</t>
  </si>
  <si>
    <t>Data Team – Customers Project</t>
  </si>
  <si>
    <t>Última Actualización</t>
  </si>
  <si>
    <t>Versión</t>
  </si>
  <si>
    <t>1.0</t>
  </si>
  <si>
    <t>Estructura de la Base de Datos</t>
  </si>
  <si>
    <t>Tablas Principales</t>
  </si>
  <si>
    <t>cs.customers y cs.addresses (clientes y sus direcciones), pay.orders y pay.order_items (pedidos y detalle de artículos), ctg.products (catálogo de productos). Cada una con clave primaria única.</t>
  </si>
  <si>
    <t>Tablas de Referencia</t>
  </si>
  <si>
    <t>Tablas auxiliares como ctg.categories, ctg.payment_methods, ctg.departments y ctg.municipalities, que ofrecen contexto adicional y evitan duplicidad.</t>
  </si>
  <si>
    <t>Relaciones</t>
  </si>
  <si>
    <t>Las claves foráneas definen las relaciones entre entidades: customers → addresses → municipalities → departments; orders → customers y payment_methods; order_items → orders y products; products → categories.</t>
  </si>
  <si>
    <t>Schemas</t>
  </si>
  <si>
    <t>La base de datos usa tres schemas: cs (customers), ctg (catalogs), pay (payments). Cada schema agrupa tablas por dominio funcional.</t>
  </si>
  <si>
    <t>Base de Datos</t>
  </si>
  <si>
    <t>La base de datos está disponible en PostgreSQL con codificación UTF-8 y lenguaje local establecido como es_CO.UTF-8.</t>
  </si>
  <si>
    <t>Usuario</t>
  </si>
  <si>
    <t>El usuario principal tiene privilegios de administrador sobre la base de datos y acceso completo a los schemas cs, ctg y pay.</t>
  </si>
  <si>
    <t>Data Mapping - Catalogo</t>
  </si>
  <si>
    <t>Tabla</t>
  </si>
  <si>
    <t>Descripcion</t>
  </si>
  <si>
    <t>Hipervinculo</t>
  </si>
  <si>
    <t>CUSTOMERS</t>
  </si>
  <si>
    <t>Almacena la información personal de cada cliente registrado en la plataforma.</t>
  </si>
  <si>
    <t>ADDRESSES</t>
  </si>
  <si>
    <t>Almacena las direcciones de entrega asociadas a cada cliente.</t>
  </si>
  <si>
    <t>ORDERS</t>
  </si>
  <si>
    <t>Registra las cabeceras de los pedidos realizados por los clientes.</t>
  </si>
  <si>
    <t>ORDER_ITEMS</t>
  </si>
  <si>
    <t>Detalla los productos incluidos en cada pedido con su cantidad comprada.</t>
  </si>
  <si>
    <t>PRODUCTS</t>
  </si>
  <si>
    <t>Catálogo de productos disponibles para la venta en la plataforma.</t>
  </si>
  <si>
    <t>CATEGORIES</t>
  </si>
  <si>
    <t>Agrupa los productos por categoría temática.</t>
  </si>
  <si>
    <t>PAYMENT_METHODS</t>
  </si>
  <si>
    <t>Define los métodos de pago aceptados en la plataforma.</t>
  </si>
  <si>
    <t>DEPARTMENTS</t>
  </si>
  <si>
    <t>Tabla de referencia con los departamentos de Colombia.</t>
  </si>
  <si>
    <t>MUNICIPALITIES</t>
  </si>
  <si>
    <t>Municipios de Colombia, asociados a su departamento correspondiente.</t>
  </si>
  <si>
    <t>Campo</t>
  </si>
  <si>
    <t>Tipo de Dato</t>
  </si>
  <si>
    <t>Tamaño</t>
  </si>
  <si>
    <t>Restriccion</t>
  </si>
  <si>
    <t>id_number</t>
  </si>
  <si>
    <t>VARCHAR</t>
  </si>
  <si>
    <t>50</t>
  </si>
  <si>
    <t>PK</t>
  </si>
  <si>
    <t>Número de identificación único del cliente</t>
  </si>
  <si>
    <t>birth_date</t>
  </si>
  <si>
    <t>DATE</t>
  </si>
  <si>
    <t>-</t>
  </si>
  <si>
    <t/>
  </si>
  <si>
    <t>Fecha de nacimiento del cliente</t>
  </si>
  <si>
    <t>phone_number</t>
  </si>
  <si>
    <t>20</t>
  </si>
  <si>
    <t>Número de teléfono de contacto</t>
  </si>
  <si>
    <t>name</t>
  </si>
  <si>
    <t>200</t>
  </si>
  <si>
    <t>NOT NULL</t>
  </si>
  <si>
    <t>Nombre completo del cliente</t>
  </si>
  <si>
    <t>email</t>
  </si>
  <si>
    <t>255</t>
  </si>
  <si>
    <t>UNIQUE NOT NULL</t>
  </si>
  <si>
    <t>Correo electrónico único del cliente</t>
  </si>
  <si>
    <t>created_at</t>
  </si>
  <si>
    <t>TIMESTAMP</t>
  </si>
  <si>
    <t>Fecha y hora de registro del cliente</t>
  </si>
  <si>
    <t>id</t>
  </si>
  <si>
    <t>SERIAL</t>
  </si>
  <si>
    <t>Identificador interno autoincremental</t>
  </si>
  <si>
    <t>customer_id_number</t>
  </si>
  <si>
    <t>FK</t>
  </si>
  <si>
    <t>Referencia al cliente (cs.customers)</t>
  </si>
  <si>
    <t>municipality_code</t>
  </si>
  <si>
    <t>10</t>
  </si>
  <si>
    <t>Referencia al municipio (ctg.municipalities)</t>
  </si>
  <si>
    <t>street</t>
  </si>
  <si>
    <t>Calle o carrera principal</t>
  </si>
  <si>
    <t>detail</t>
  </si>
  <si>
    <t>Detalle de la dirección (piso, apto, bloque, etc.)</t>
  </si>
  <si>
    <t>additional_comments</t>
  </si>
  <si>
    <t>500</t>
  </si>
  <si>
    <t>Comentarios adicionales para la entrega</t>
  </si>
  <si>
    <t>Fecha y hora de registro de la dirección</t>
  </si>
  <si>
    <t>Identificador único del pedido (ej: ORD20260320-XXXXX)</t>
  </si>
  <si>
    <t>order_date</t>
  </si>
  <si>
    <t>Fecha y hora en que se realizó el pedido</t>
  </si>
  <si>
    <t>payment_method_id</t>
  </si>
  <si>
    <t>INT</t>
  </si>
  <si>
    <t>Referencia al método de pago (ctg.payment_methods)</t>
  </si>
  <si>
    <t>order_id</t>
  </si>
  <si>
    <t>Referencia al pedido (pay.orders)</t>
  </si>
  <si>
    <t>product_id</t>
  </si>
  <si>
    <t>Referencia al producto (ctg.products)</t>
  </si>
  <si>
    <t>quantity</t>
  </si>
  <si>
    <t>Cantidad de unidades del producto en el pedido</t>
  </si>
  <si>
    <t>Identificador único del producto</t>
  </si>
  <si>
    <t>300</t>
  </si>
  <si>
    <t>Nombre del producto</t>
  </si>
  <si>
    <t>usd_price</t>
  </si>
  <si>
    <t>DECIMAL</t>
  </si>
  <si>
    <t>10,2</t>
  </si>
  <si>
    <t>Precio del producto en dólares (USD)</t>
  </si>
  <si>
    <t>category_id</t>
  </si>
  <si>
    <t>Referencia a la categoría (ctg.categories)</t>
  </si>
  <si>
    <t>Identificador único de la categoría</t>
  </si>
  <si>
    <t>Nombre descriptivo de la categoría</t>
  </si>
  <si>
    <t>Identificador único del método de pago</t>
  </si>
  <si>
    <t>Nombre del método de pago</t>
  </si>
  <si>
    <t>code</t>
  </si>
  <si>
    <t>5</t>
  </si>
  <si>
    <t>Código DANE del departamento (ej: 05 para Antioquia)</t>
  </si>
  <si>
    <t>100</t>
  </si>
  <si>
    <t>Nombre oficial del departamento</t>
  </si>
  <si>
    <t>Código DANE del municipio (ej: 05001 para Medellín)</t>
  </si>
  <si>
    <t>Nombre oficial del municipio</t>
  </si>
  <si>
    <t>department_code</t>
  </si>
  <si>
    <t>Referencia al departamento (ctg.departments)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</si>
</sst>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Arial Narrow"/>
      <charset val="134"/>
    </font>
    <font>
      <b/>
      <sz val="11"/>
      <color theme="1"/>
      <name val="Arial Narrow"/>
      <charset val="134"/>
    </font>
    <font>
      <b/>
      <sz val="11"/>
      <color theme="1"/>
      <name val="Arial Narrow"/>
      <charset val="134"/>
    </font>
    <font>
      <sz val="26"/>
      <color theme="0"/>
      <name val="Arial Narrow"/>
      <charset val="134"/>
    </font>
    <font>
      <sz val="18"/>
      <color theme="0"/>
      <name val="Arial Narrow"/>
      <charset val="134"/>
    </font>
    <font>
      <sz val="11"/>
      <color theme="1"/>
      <name val="Arial"/>
      <charset val="134"/>
    </font>
    <font>
      <b/>
      <sz val="14"/>
      <color theme="1"/>
      <name val="Arial Narrow"/>
      <charset val="134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/>
    <xf numFmtId="0" fontId="13" fillId="0" borderId="0" applyNumberFormat="0" applyFill="0" applyBorder="0" applyAlignment="0" applyProtection="0">
      <alignment vertical="center"/>
    </xf>
    <xf numFmtId="0" fontId="12" fillId="8" borderId="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10" borderId="7" applyNumberFormat="0" applyAlignment="0" applyProtection="0">
      <alignment vertical="center"/>
    </xf>
    <xf numFmtId="0" fontId="23" fillId="11" borderId="9" applyNumberFormat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/>
    <xf numFmtId="0" fontId="3" fillId="3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5" borderId="0" xfId="0" applyFont="1" applyFill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wrapText="1"/>
    </xf>
    <xf numFmtId="0" fontId="7" fillId="0" borderId="1" xfId="0" applyFont="1" applyBorder="1" applyAlignment="1">
      <alignment horizontal="left" vertical="center" wrapText="1"/>
    </xf>
    <xf numFmtId="58" fontId="7" fillId="0" borderId="1" xfId="0" applyNumberFormat="1" applyFont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6" applyFont="1" applyBorder="1" applyAlignment="1">
      <alignment horizontal="center" vertical="center" wrapText="1"/>
    </xf>
    <xf numFmtId="0" fontId="11" fillId="0" borderId="1" xfId="6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zoomScale="55" zoomScaleNormal="55" workbookViewId="0">
      <selection activeCell="B3" sqref="B3:H3"/>
    </sheetView>
  </sheetViews>
  <sheetFormatPr defaultColWidth="11" defaultRowHeight="15" outlineLevelCol="7"/>
  <cols>
    <col min="1" max="1" width="24.1047619047619" customWidth="1"/>
    <col min="2" max="2" width="11.552380952381" customWidth="1"/>
  </cols>
  <sheetData>
    <row r="1" ht="32.4" customHeight="1" spans="1:8">
      <c r="A1" s="8" t="s">
        <v>0</v>
      </c>
    </row>
    <row r="2" ht="23.4" customHeight="1" spans="1:8">
      <c r="A2" s="9" t="s">
        <v>1</v>
      </c>
      <c r="B2" s="10"/>
      <c r="C2" s="10"/>
      <c r="D2" s="10"/>
      <c r="E2" s="10"/>
      <c r="F2" s="10"/>
      <c r="G2" s="10"/>
      <c r="H2" s="11"/>
    </row>
    <row r="3" ht="79.8" customHeight="1" spans="1:8">
      <c r="A3" s="12" t="s">
        <v>2</v>
      </c>
      <c r="B3" s="13" t="s">
        <v>3</v>
      </c>
      <c r="C3" s="10"/>
      <c r="D3" s="10"/>
      <c r="E3" s="10"/>
      <c r="F3" s="10"/>
      <c r="G3" s="10"/>
      <c r="H3" s="11"/>
    </row>
    <row r="4" ht="71.4" customHeight="1" spans="1:8">
      <c r="A4" s="12" t="s">
        <v>4</v>
      </c>
      <c r="B4" s="14" t="s">
        <v>5</v>
      </c>
      <c r="C4" s="10"/>
      <c r="D4" s="10"/>
      <c r="E4" s="10"/>
      <c r="F4" s="10"/>
      <c r="G4" s="10"/>
      <c r="H4" s="11"/>
    </row>
    <row r="5" ht="33.6" customHeight="1" spans="1:8">
      <c r="A5" s="12" t="s">
        <v>6</v>
      </c>
      <c r="B5" s="14" t="s">
        <v>7</v>
      </c>
      <c r="C5" s="10"/>
      <c r="D5" s="10"/>
      <c r="E5" s="10"/>
      <c r="F5" s="10"/>
      <c r="G5" s="10"/>
      <c r="H5" s="11"/>
    </row>
    <row r="6" ht="28.2" customHeight="1" spans="1:8">
      <c r="A6" s="12" t="s">
        <v>8</v>
      </c>
      <c r="B6" s="14" t="s">
        <v>9</v>
      </c>
      <c r="C6" s="10"/>
      <c r="D6" s="10"/>
      <c r="E6" s="10"/>
      <c r="F6" s="10"/>
      <c r="G6" s="10"/>
      <c r="H6" s="11"/>
    </row>
    <row r="7" ht="38.4" customHeight="1" spans="1:8">
      <c r="A7" s="12" t="s">
        <v>10</v>
      </c>
      <c r="B7" s="15">
        <v>46124</v>
      </c>
      <c r="C7" s="10"/>
      <c r="D7" s="10"/>
      <c r="E7" s="10"/>
      <c r="F7" s="10"/>
      <c r="G7" s="10"/>
      <c r="H7" s="11"/>
    </row>
    <row r="8" ht="16.5" spans="1:8">
      <c r="A8" s="12" t="s">
        <v>11</v>
      </c>
      <c r="B8" s="14" t="s">
        <v>12</v>
      </c>
      <c r="C8" s="10"/>
      <c r="D8" s="10"/>
      <c r="E8" s="10"/>
      <c r="F8" s="10"/>
      <c r="G8" s="10"/>
      <c r="H8" s="11"/>
    </row>
    <row r="9" ht="23.4" customHeight="1" spans="1:8">
      <c r="A9" s="9" t="s">
        <v>13</v>
      </c>
      <c r="B9" s="10"/>
      <c r="C9" s="10"/>
      <c r="D9" s="10"/>
      <c r="E9" s="10"/>
      <c r="F9" s="10"/>
      <c r="G9" s="10"/>
      <c r="H9" s="11"/>
    </row>
    <row r="10" ht="48.6" customHeight="1" spans="1:8">
      <c r="A10" s="12" t="s">
        <v>14</v>
      </c>
      <c r="B10" s="13" t="s">
        <v>15</v>
      </c>
      <c r="C10" s="10"/>
      <c r="D10" s="10"/>
      <c r="E10" s="10"/>
      <c r="F10" s="10"/>
      <c r="G10" s="10"/>
      <c r="H10" s="11"/>
    </row>
    <row r="11" ht="30.6" customHeight="1" spans="1:8">
      <c r="A11" s="12" t="s">
        <v>16</v>
      </c>
      <c r="B11" s="14" t="s">
        <v>17</v>
      </c>
      <c r="C11" s="10"/>
      <c r="D11" s="10"/>
      <c r="E11" s="10"/>
      <c r="F11" s="10"/>
      <c r="G11" s="10"/>
      <c r="H11" s="11"/>
    </row>
    <row r="12" ht="34.2" customHeight="1" spans="1:8">
      <c r="A12" s="12" t="s">
        <v>18</v>
      </c>
      <c r="B12" s="14" t="s">
        <v>19</v>
      </c>
      <c r="C12" s="10"/>
      <c r="D12" s="10"/>
      <c r="E12" s="10"/>
      <c r="F12" s="10"/>
      <c r="G12" s="10"/>
      <c r="H12" s="11"/>
    </row>
    <row r="13" ht="34.2" customHeight="1" spans="1:8">
      <c r="A13" s="12" t="s">
        <v>20</v>
      </c>
      <c r="B13" s="14" t="s">
        <v>21</v>
      </c>
      <c r="C13" s="10"/>
      <c r="D13" s="10"/>
      <c r="E13" s="10"/>
      <c r="F13" s="10"/>
      <c r="G13" s="10"/>
      <c r="H13" s="11"/>
    </row>
    <row r="14" ht="43.2" customHeight="1" spans="1:8">
      <c r="A14" s="12" t="s">
        <v>22</v>
      </c>
      <c r="B14" s="14" t="s">
        <v>23</v>
      </c>
      <c r="C14" s="10"/>
      <c r="D14" s="10"/>
      <c r="E14" s="10"/>
      <c r="F14" s="10"/>
      <c r="G14" s="10"/>
      <c r="H14" s="11"/>
    </row>
    <row r="15" ht="43.2" customHeight="1" spans="1:8">
      <c r="A15" s="12" t="s">
        <v>24</v>
      </c>
      <c r="B15" s="14" t="s">
        <v>25</v>
      </c>
      <c r="C15" s="10"/>
      <c r="D15" s="10"/>
      <c r="E15" s="10"/>
      <c r="F15" s="10"/>
      <c r="G15" s="10"/>
      <c r="H15" s="11"/>
    </row>
    <row r="16" ht="23.4" customHeight="1" spans="1:8">
      <c r="A16" s="9" t="s">
        <v>26</v>
      </c>
      <c r="B16" s="10"/>
      <c r="C16" s="10"/>
      <c r="D16" s="10"/>
      <c r="E16" s="10"/>
      <c r="F16" s="10"/>
      <c r="G16" s="10"/>
      <c r="H16" s="11"/>
    </row>
    <row r="17" ht="18" customHeight="1" spans="1:8">
      <c r="A17" s="16" t="s">
        <v>27</v>
      </c>
      <c r="B17" s="17" t="s">
        <v>28</v>
      </c>
      <c r="C17" s="10"/>
      <c r="D17" s="10"/>
      <c r="E17" s="11"/>
      <c r="F17" s="17" t="s">
        <v>29</v>
      </c>
      <c r="G17" s="10"/>
      <c r="H17" s="11"/>
    </row>
    <row r="18" ht="201.6" customHeight="1" spans="1:8">
      <c r="A18" s="18" t="s">
        <v>30</v>
      </c>
      <c r="B18" s="14" t="s">
        <v>31</v>
      </c>
      <c r="C18" s="10"/>
      <c r="D18" s="10"/>
      <c r="E18" s="11"/>
      <c r="F18" s="19" t="str">
        <f t="shared" ref="F18:F26" si="0">CONCATENATE(A18,"_LINK")</f>
        <v>CUSTOMERS_LINK</v>
      </c>
      <c r="G18" s="10"/>
      <c r="H18" s="11"/>
    </row>
    <row r="19" ht="57" customHeight="1" spans="1:8">
      <c r="A19" s="18" t="s">
        <v>32</v>
      </c>
      <c r="B19" s="14" t="s">
        <v>33</v>
      </c>
      <c r="C19" s="10"/>
      <c r="D19" s="10"/>
      <c r="E19" s="11"/>
      <c r="F19" s="20" t="str">
        <f t="shared" si="0"/>
        <v>ADDRESSES_LINK</v>
      </c>
      <c r="G19" s="10"/>
      <c r="H19" s="11"/>
    </row>
    <row r="20" ht="45" customHeight="1" spans="1:8">
      <c r="A20" s="18" t="s">
        <v>34</v>
      </c>
      <c r="B20" s="14" t="s">
        <v>35</v>
      </c>
      <c r="C20" s="10"/>
      <c r="D20" s="10"/>
      <c r="E20" s="11"/>
      <c r="F20" s="20" t="str">
        <f t="shared" si="0"/>
        <v>ORDERS_LINK</v>
      </c>
      <c r="G20" s="10"/>
      <c r="H20" s="11"/>
    </row>
    <row r="21" ht="69" customHeight="1" spans="1:8">
      <c r="A21" s="18" t="s">
        <v>36</v>
      </c>
      <c r="B21" s="14" t="s">
        <v>37</v>
      </c>
      <c r="C21" s="10"/>
      <c r="D21" s="10"/>
      <c r="E21" s="11"/>
      <c r="F21" s="20" t="str">
        <f t="shared" si="0"/>
        <v>ORDER_ITEMS_LINK</v>
      </c>
      <c r="G21" s="10"/>
      <c r="H21" s="11"/>
    </row>
    <row r="22" ht="45" customHeight="1" spans="1:8">
      <c r="A22" s="18" t="s">
        <v>38</v>
      </c>
      <c r="B22" s="14" t="s">
        <v>39</v>
      </c>
      <c r="C22" s="10"/>
      <c r="D22" s="10"/>
      <c r="E22" s="11"/>
      <c r="F22" s="20" t="str">
        <f t="shared" si="0"/>
        <v>PRODUCTS_LINK</v>
      </c>
      <c r="G22" s="10"/>
      <c r="H22" s="11"/>
    </row>
    <row r="23" ht="60" customHeight="1" spans="1:8">
      <c r="A23" s="18" t="s">
        <v>40</v>
      </c>
      <c r="B23" s="14" t="s">
        <v>41</v>
      </c>
      <c r="C23" s="10"/>
      <c r="D23" s="10"/>
      <c r="E23" s="11"/>
      <c r="F23" s="20" t="str">
        <f t="shared" si="0"/>
        <v>CATEGORIES_LINK</v>
      </c>
      <c r="G23" s="10"/>
      <c r="H23" s="11"/>
    </row>
    <row r="24" ht="59.4" customHeight="1" spans="1:8">
      <c r="A24" s="18" t="s">
        <v>42</v>
      </c>
      <c r="B24" s="14" t="s">
        <v>43</v>
      </c>
      <c r="C24" s="10"/>
      <c r="D24" s="10"/>
      <c r="E24" s="11"/>
      <c r="F24" s="20" t="str">
        <f t="shared" si="0"/>
        <v>PAYMENT_METHODS_LINK</v>
      </c>
      <c r="G24" s="10"/>
      <c r="H24" s="11"/>
    </row>
    <row r="25" ht="54" customHeight="1" spans="1:8">
      <c r="A25" s="18" t="s">
        <v>44</v>
      </c>
      <c r="B25" s="14" t="s">
        <v>45</v>
      </c>
      <c r="C25" s="10"/>
      <c r="D25" s="10"/>
      <c r="E25" s="11"/>
      <c r="F25" s="20" t="str">
        <f t="shared" si="0"/>
        <v>DEPARTMENTS_LINK</v>
      </c>
      <c r="G25" s="10"/>
      <c r="H25" s="11"/>
    </row>
    <row r="26" ht="59.4" customHeight="1" spans="1:8">
      <c r="A26" s="18" t="s">
        <v>46</v>
      </c>
      <c r="B26" s="14" t="s">
        <v>47</v>
      </c>
      <c r="C26" s="10"/>
      <c r="D26" s="10"/>
      <c r="E26" s="11"/>
      <c r="F26" s="20" t="str">
        <f t="shared" si="0"/>
        <v>MUNICIPALITIES_LINK</v>
      </c>
      <c r="G26" s="10"/>
      <c r="H26" s="11"/>
    </row>
  </sheetData>
  <mergeCells count="36">
    <mergeCell ref="A1:H1"/>
    <mergeCell ref="A2:H2"/>
    <mergeCell ref="B3:H3"/>
    <mergeCell ref="B4:H4"/>
    <mergeCell ref="B5:H5"/>
    <mergeCell ref="B6:H6"/>
    <mergeCell ref="B7:H7"/>
    <mergeCell ref="B8:H8"/>
    <mergeCell ref="A9:H9"/>
    <mergeCell ref="B10:H10"/>
    <mergeCell ref="B11:H11"/>
    <mergeCell ref="B12:H12"/>
    <mergeCell ref="B13:H13"/>
    <mergeCell ref="B14:H14"/>
    <mergeCell ref="B15:H15"/>
    <mergeCell ref="A16:H16"/>
    <mergeCell ref="B17:E17"/>
    <mergeCell ref="F17:H17"/>
    <mergeCell ref="B18:E18"/>
    <mergeCell ref="F18:H18"/>
    <mergeCell ref="B19:E19"/>
    <mergeCell ref="F19:H19"/>
    <mergeCell ref="B20:E20"/>
    <mergeCell ref="F20:H20"/>
    <mergeCell ref="B21:E21"/>
    <mergeCell ref="F21:H21"/>
    <mergeCell ref="B22:E22"/>
    <mergeCell ref="F22:H22"/>
    <mergeCell ref="B23:E23"/>
    <mergeCell ref="F23:H23"/>
    <mergeCell ref="B24:E24"/>
    <mergeCell ref="F24:H24"/>
    <mergeCell ref="B25:E25"/>
    <mergeCell ref="F25:H25"/>
    <mergeCell ref="B26:E26"/>
    <mergeCell ref="F26:H26"/>
  </mergeCells>
  <hyperlinks>
    <hyperlink ref="F18" location="'cs.customers'!A1" display="=CONCATENAR(A18;&quot;_LINK&quot;)"/>
    <hyperlink ref="F19" location="'cs.addresses'!A1" display="=CONCATENAR(A19;&quot;_LINK&quot;)"/>
    <hyperlink ref="F20" location="'pay.orders'!A1" display="=CONCATENAR(A20;&quot;_LINK&quot;)"/>
    <hyperlink ref="F21" location="'pay.order_items'!A1" display="=CONCATENAR(A21;&quot;_LINK&quot;)"/>
    <hyperlink ref="F22" location="'ctg.products'!A1" display="=CONCATENAR(A22;&quot;_LINK&quot;)"/>
    <hyperlink ref="F23" location="'ctg.categories'!A1" display="=CONCATENAR(A23;&quot;_LINK&quot;)"/>
    <hyperlink ref="F24" location="'ctg.payment_methods'!A1" display="=CONCATENAR(A24;&quot;_LINK&quot;)"/>
    <hyperlink ref="F25" location="'ctg.departments'!A1" display="=CONCATENAR(A25;&quot;_LINK&quot;)"/>
    <hyperlink ref="F26" location="'ctg.municipalities'!A1" display="=CONCATENAR(A26;&quot;_LINK&quot;)"/>
  </hyperlinks>
  <pageMargins left="0.7" right="0.7" top="0.75" bottom="0.75" header="0.3" footer="0.3"/>
  <pageSetup paperSize="1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D4" sqref="D4"/>
    </sheetView>
  </sheetViews>
  <sheetFormatPr defaultColWidth="9" defaultRowHeight="15" outlineLevelRow="6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37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52</v>
      </c>
      <c r="B2" s="2" t="s">
        <v>53</v>
      </c>
      <c r="C2" s="2" t="s">
        <v>54</v>
      </c>
      <c r="D2" s="3" t="s">
        <v>55</v>
      </c>
      <c r="E2" s="2" t="s">
        <v>56</v>
      </c>
    </row>
    <row r="3" ht="16.5" spans="1:5">
      <c r="A3" s="4" t="s">
        <v>57</v>
      </c>
      <c r="B3" s="4" t="s">
        <v>58</v>
      </c>
      <c r="C3" s="4" t="s">
        <v>59</v>
      </c>
      <c r="D3" s="7" t="s">
        <v>60</v>
      </c>
      <c r="E3" s="4" t="s">
        <v>61</v>
      </c>
    </row>
    <row r="4" ht="16.5" spans="1:5">
      <c r="A4" s="2" t="s">
        <v>62</v>
      </c>
      <c r="B4" s="2" t="s">
        <v>53</v>
      </c>
      <c r="C4" s="2" t="s">
        <v>63</v>
      </c>
      <c r="D4" s="6" t="s">
        <v>60</v>
      </c>
      <c r="E4" s="2" t="s">
        <v>64</v>
      </c>
    </row>
    <row r="5" ht="16.5" spans="1:5">
      <c r="A5" s="4" t="s">
        <v>65</v>
      </c>
      <c r="B5" s="4" t="s">
        <v>53</v>
      </c>
      <c r="C5" s="4" t="s">
        <v>66</v>
      </c>
      <c r="D5" s="5" t="s">
        <v>67</v>
      </c>
      <c r="E5" s="4" t="s">
        <v>68</v>
      </c>
    </row>
    <row r="6" ht="16.5" spans="1:5">
      <c r="A6" s="2" t="s">
        <v>69</v>
      </c>
      <c r="B6" s="2" t="s">
        <v>53</v>
      </c>
      <c r="C6" s="2" t="s">
        <v>70</v>
      </c>
      <c r="D6" s="3" t="s">
        <v>71</v>
      </c>
      <c r="E6" s="2" t="s">
        <v>72</v>
      </c>
    </row>
    <row r="7" ht="16.5" spans="1:5">
      <c r="A7" s="4" t="s">
        <v>73</v>
      </c>
      <c r="B7" s="4" t="s">
        <v>74</v>
      </c>
      <c r="C7" s="4" t="s">
        <v>59</v>
      </c>
      <c r="D7" s="5" t="s">
        <v>67</v>
      </c>
      <c r="E7" s="4" t="s">
        <v>75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5" outlineLevelRow="7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41.2857142857143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76</v>
      </c>
      <c r="B2" s="2" t="s">
        <v>77</v>
      </c>
      <c r="C2" s="2" t="s">
        <v>59</v>
      </c>
      <c r="D2" s="3" t="s">
        <v>55</v>
      </c>
      <c r="E2" s="2" t="s">
        <v>78</v>
      </c>
    </row>
    <row r="3" ht="16.5" spans="1:5">
      <c r="A3" s="4" t="s">
        <v>79</v>
      </c>
      <c r="B3" s="4" t="s">
        <v>53</v>
      </c>
      <c r="C3" s="4" t="s">
        <v>54</v>
      </c>
      <c r="D3" s="5" t="s">
        <v>80</v>
      </c>
      <c r="E3" s="4" t="s">
        <v>81</v>
      </c>
    </row>
    <row r="4" ht="16.5" spans="1:5">
      <c r="A4" s="2" t="s">
        <v>82</v>
      </c>
      <c r="B4" s="2" t="s">
        <v>53</v>
      </c>
      <c r="C4" s="2" t="s">
        <v>83</v>
      </c>
      <c r="D4" s="3" t="s">
        <v>80</v>
      </c>
      <c r="E4" s="2" t="s">
        <v>84</v>
      </c>
    </row>
    <row r="5" ht="16.5" spans="1:5">
      <c r="A5" s="4" t="s">
        <v>85</v>
      </c>
      <c r="B5" s="4" t="s">
        <v>53</v>
      </c>
      <c r="C5" s="4" t="s">
        <v>66</v>
      </c>
      <c r="D5" s="5" t="s">
        <v>67</v>
      </c>
      <c r="E5" s="4" t="s">
        <v>86</v>
      </c>
    </row>
    <row r="6" ht="16.5" spans="1:5">
      <c r="A6" s="2" t="s">
        <v>87</v>
      </c>
      <c r="B6" s="2" t="s">
        <v>53</v>
      </c>
      <c r="C6" s="2" t="s">
        <v>66</v>
      </c>
      <c r="D6" s="6" t="s">
        <v>60</v>
      </c>
      <c r="E6" s="2" t="s">
        <v>88</v>
      </c>
    </row>
    <row r="7" ht="16.5" spans="1:5">
      <c r="A7" s="4" t="s">
        <v>89</v>
      </c>
      <c r="B7" s="4" t="s">
        <v>53</v>
      </c>
      <c r="C7" s="4" t="s">
        <v>90</v>
      </c>
      <c r="D7" s="7" t="s">
        <v>60</v>
      </c>
      <c r="E7" s="4" t="s">
        <v>91</v>
      </c>
    </row>
    <row r="8" ht="16.5" spans="1:5">
      <c r="A8" s="2" t="s">
        <v>73</v>
      </c>
      <c r="B8" s="2" t="s">
        <v>74</v>
      </c>
      <c r="C8" s="2" t="s">
        <v>59</v>
      </c>
      <c r="D8" s="3" t="s">
        <v>67</v>
      </c>
      <c r="E8" s="2" t="s">
        <v>92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51.7142857142857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76</v>
      </c>
      <c r="B2" s="2" t="s">
        <v>53</v>
      </c>
      <c r="C2" s="2" t="s">
        <v>54</v>
      </c>
      <c r="D2" s="3" t="s">
        <v>55</v>
      </c>
      <c r="E2" s="2" t="s">
        <v>93</v>
      </c>
    </row>
    <row r="3" ht="16.5" spans="1:5">
      <c r="A3" s="4" t="s">
        <v>94</v>
      </c>
      <c r="B3" s="4" t="s">
        <v>74</v>
      </c>
      <c r="C3" s="4" t="s">
        <v>59</v>
      </c>
      <c r="D3" s="5" t="s">
        <v>67</v>
      </c>
      <c r="E3" s="4" t="s">
        <v>95</v>
      </c>
    </row>
    <row r="4" ht="16.5" spans="1:5">
      <c r="A4" s="2" t="s">
        <v>96</v>
      </c>
      <c r="B4" s="2" t="s">
        <v>97</v>
      </c>
      <c r="C4" s="2" t="s">
        <v>59</v>
      </c>
      <c r="D4" s="3" t="s">
        <v>80</v>
      </c>
      <c r="E4" s="2" t="s">
        <v>98</v>
      </c>
    </row>
    <row r="5" ht="16.5" spans="1:5">
      <c r="A5" s="4" t="s">
        <v>79</v>
      </c>
      <c r="B5" s="4" t="s">
        <v>53</v>
      </c>
      <c r="C5" s="4" t="s">
        <v>54</v>
      </c>
      <c r="D5" s="5" t="s">
        <v>80</v>
      </c>
      <c r="E5" s="4" t="s">
        <v>81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42.2857142857143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76</v>
      </c>
      <c r="B2" s="2" t="s">
        <v>77</v>
      </c>
      <c r="C2" s="2" t="s">
        <v>59</v>
      </c>
      <c r="D2" s="3" t="s">
        <v>55</v>
      </c>
      <c r="E2" s="2" t="s">
        <v>78</v>
      </c>
    </row>
    <row r="3" ht="16.5" spans="1:5">
      <c r="A3" s="4" t="s">
        <v>99</v>
      </c>
      <c r="B3" s="4" t="s">
        <v>53</v>
      </c>
      <c r="C3" s="4" t="s">
        <v>54</v>
      </c>
      <c r="D3" s="5" t="s">
        <v>80</v>
      </c>
      <c r="E3" s="4" t="s">
        <v>100</v>
      </c>
    </row>
    <row r="4" ht="16.5" spans="1:5">
      <c r="A4" s="2" t="s">
        <v>101</v>
      </c>
      <c r="B4" s="2" t="s">
        <v>97</v>
      </c>
      <c r="C4" s="2" t="s">
        <v>59</v>
      </c>
      <c r="D4" s="3" t="s">
        <v>80</v>
      </c>
      <c r="E4" s="2" t="s">
        <v>102</v>
      </c>
    </row>
    <row r="5" ht="16.5" spans="1:5">
      <c r="A5" s="4" t="s">
        <v>103</v>
      </c>
      <c r="B5" s="4" t="s">
        <v>97</v>
      </c>
      <c r="C5" s="4" t="s">
        <v>59</v>
      </c>
      <c r="D5" s="5" t="s">
        <v>67</v>
      </c>
      <c r="E5" s="4" t="s">
        <v>104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A1"/>
    </sheetView>
  </sheetViews>
  <sheetFormatPr defaultColWidth="9" defaultRowHeight="15" outlineLevelRow="4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46.7142857142857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76</v>
      </c>
      <c r="B2" s="2" t="s">
        <v>77</v>
      </c>
      <c r="C2" s="2" t="s">
        <v>59</v>
      </c>
      <c r="D2" s="3" t="s">
        <v>55</v>
      </c>
      <c r="E2" s="2" t="s">
        <v>105</v>
      </c>
    </row>
    <row r="3" ht="16.5" spans="1:5">
      <c r="A3" s="4" t="s">
        <v>65</v>
      </c>
      <c r="B3" s="4" t="s">
        <v>53</v>
      </c>
      <c r="C3" s="4" t="s">
        <v>106</v>
      </c>
      <c r="D3" s="5" t="s">
        <v>67</v>
      </c>
      <c r="E3" s="4" t="s">
        <v>107</v>
      </c>
    </row>
    <row r="4" ht="16.5" spans="1:5">
      <c r="A4" s="2" t="s">
        <v>108</v>
      </c>
      <c r="B4" s="2" t="s">
        <v>109</v>
      </c>
      <c r="C4" s="2" t="s">
        <v>110</v>
      </c>
      <c r="D4" s="3" t="s">
        <v>67</v>
      </c>
      <c r="E4" s="2" t="s">
        <v>111</v>
      </c>
    </row>
    <row r="5" ht="16.5" spans="1:5">
      <c r="A5" s="4" t="s">
        <v>112</v>
      </c>
      <c r="B5" s="4" t="s">
        <v>97</v>
      </c>
      <c r="C5" s="4" t="s">
        <v>59</v>
      </c>
      <c r="D5" s="5" t="s">
        <v>80</v>
      </c>
      <c r="E5" s="4" t="s">
        <v>113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A1" sqref="A1"/>
    </sheetView>
  </sheetViews>
  <sheetFormatPr defaultColWidth="9" defaultRowHeight="15" outlineLevelRow="2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32.552380952381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76</v>
      </c>
      <c r="B2" s="2" t="s">
        <v>77</v>
      </c>
      <c r="C2" s="2" t="s">
        <v>59</v>
      </c>
      <c r="D2" s="3" t="s">
        <v>55</v>
      </c>
      <c r="E2" s="2" t="s">
        <v>114</v>
      </c>
    </row>
    <row r="3" ht="16.5" spans="1:5">
      <c r="A3" s="4" t="s">
        <v>65</v>
      </c>
      <c r="B3" s="4" t="s">
        <v>53</v>
      </c>
      <c r="C3" s="4" t="s">
        <v>66</v>
      </c>
      <c r="D3" s="5" t="s">
        <v>67</v>
      </c>
      <c r="E3" s="4" t="s">
        <v>115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32.552380952381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76</v>
      </c>
      <c r="B2" s="2" t="s">
        <v>77</v>
      </c>
      <c r="C2" s="2" t="s">
        <v>59</v>
      </c>
      <c r="D2" s="3" t="s">
        <v>55</v>
      </c>
      <c r="E2" s="2" t="s">
        <v>116</v>
      </c>
    </row>
    <row r="3" ht="16.5" spans="1:5">
      <c r="A3" s="4" t="s">
        <v>65</v>
      </c>
      <c r="B3" s="4" t="s">
        <v>53</v>
      </c>
      <c r="C3" s="4" t="s">
        <v>54</v>
      </c>
      <c r="D3" s="5" t="s">
        <v>67</v>
      </c>
      <c r="E3" s="4" t="s">
        <v>117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workbookViewId="0">
      <selection activeCell="A1" sqref="A1"/>
    </sheetView>
  </sheetViews>
  <sheetFormatPr defaultColWidth="9" defaultRowHeight="15" outlineLevelRow="2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32.552380952381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118</v>
      </c>
      <c r="B2" s="2" t="s">
        <v>53</v>
      </c>
      <c r="C2" s="2" t="s">
        <v>119</v>
      </c>
      <c r="D2" s="3" t="s">
        <v>55</v>
      </c>
      <c r="E2" s="2" t="s">
        <v>120</v>
      </c>
    </row>
    <row r="3" ht="16.5" spans="1:5">
      <c r="A3" s="4" t="s">
        <v>65</v>
      </c>
      <c r="B3" s="4" t="s">
        <v>53</v>
      </c>
      <c r="C3" s="4" t="s">
        <v>121</v>
      </c>
      <c r="D3" s="5" t="s">
        <v>67</v>
      </c>
      <c r="E3" s="4" t="s">
        <v>122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A1" sqref="A1"/>
    </sheetView>
  </sheetViews>
  <sheetFormatPr defaultColWidth="9" defaultRowHeight="15" outlineLevelRow="3" outlineLevelCol="4"/>
  <cols>
    <col min="1" max="1" width="13.8857142857143" customWidth="1"/>
    <col min="2" max="2" width="11.6666666666667" customWidth="1"/>
    <col min="3" max="3" width="7.88571428571429" customWidth="1"/>
    <col min="4" max="4" width="14.552380952381" customWidth="1"/>
    <col min="5" max="5" width="32.552380952381" customWidth="1"/>
  </cols>
  <sheetData>
    <row r="1" spans="1:5">
      <c r="A1" s="1" t="s">
        <v>48</v>
      </c>
      <c r="B1" s="1" t="s">
        <v>49</v>
      </c>
      <c r="C1" s="1" t="s">
        <v>50</v>
      </c>
      <c r="D1" s="1" t="s">
        <v>51</v>
      </c>
      <c r="E1" s="1" t="s">
        <v>2</v>
      </c>
    </row>
    <row r="2" ht="16.5" spans="1:5">
      <c r="A2" s="2" t="s">
        <v>118</v>
      </c>
      <c r="B2" s="2" t="s">
        <v>53</v>
      </c>
      <c r="C2" s="2" t="s">
        <v>119</v>
      </c>
      <c r="D2" s="3" t="s">
        <v>55</v>
      </c>
      <c r="E2" s="2" t="s">
        <v>123</v>
      </c>
    </row>
    <row r="3" ht="16.5" spans="1:5">
      <c r="A3" s="4" t="s">
        <v>65</v>
      </c>
      <c r="B3" s="4" t="s">
        <v>53</v>
      </c>
      <c r="C3" s="4" t="s">
        <v>121</v>
      </c>
      <c r="D3" s="5" t="s">
        <v>67</v>
      </c>
      <c r="E3" s="4" t="s">
        <v>124</v>
      </c>
    </row>
    <row r="4" ht="16.5" spans="1:5">
      <c r="A4" s="2" t="s">
        <v>125</v>
      </c>
      <c r="B4" s="2" t="s">
        <v>53</v>
      </c>
      <c r="C4" s="2" t="s">
        <v>119</v>
      </c>
      <c r="D4" s="3" t="s">
        <v>80</v>
      </c>
      <c r="E4" s="2" t="s">
        <v>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DICCIONARIO DE DATOS</vt:lpstr>
      <vt:lpstr>cs.customers</vt:lpstr>
      <vt:lpstr>cs.addresses</vt:lpstr>
      <vt:lpstr>pay.orders</vt:lpstr>
      <vt:lpstr>pay.order_items</vt:lpstr>
      <vt:lpstr>ctg.products</vt:lpstr>
      <vt:lpstr>ctg.categories</vt:lpstr>
      <vt:lpstr>ctg.payment_methods</vt:lpstr>
      <vt:lpstr>ctg.departments</vt:lpstr>
      <vt:lpstr>ctg.municipalities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JAIMES</dc:creator>
  <cp:lastModifiedBy>William Leal</cp:lastModifiedBy>
  <dcterms:created xsi:type="dcterms:W3CDTF">2024-10-25T23:23:00Z</dcterms:created>
  <dcterms:modified xsi:type="dcterms:W3CDTF">2026-04-13T02:25:02Z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C17CF416D56C44A7B9460C6F430ED88D_12</vt:lpwstr>
  </property>
  <property fmtid="{D5CDD505-2E9C-101B-9397-08002B2CF9AE}" pid="3" name="KSOProductBuildVer">
    <vt:lpwstr>2058-12.1.0.25830</vt:lpwstr>
  </property>
  <property fmtid="{D5CDD505-2E9C-101B-9397-08002B2CF9AE}" pid="4" name="CalculationRule">
    <vt:i4>0</vt:i4>
  </property>
</Properties>
</file>